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7d0e272dd2d022/Desktop/"/>
    </mc:Choice>
  </mc:AlternateContent>
  <xr:revisionPtr revIDLastSave="0" documentId="8_{E1281409-DC85-49DC-BB5A-591CDCB1173F}" xr6:coauthVersionLast="47" xr6:coauthVersionMax="47" xr10:uidLastSave="{00000000-0000-0000-0000-000000000000}"/>
  <bookViews>
    <workbookView xWindow="-98" yWindow="-98" windowWidth="21795" windowHeight="13875" xr2:uid="{F02FE19A-AB85-41E0-9205-59F6983E8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E15" i="1"/>
  <c r="E16" i="1"/>
  <c r="E17" i="1"/>
  <c r="E18" i="1"/>
  <c r="E14" i="1"/>
  <c r="D15" i="1"/>
  <c r="D16" i="1"/>
  <c r="D17" i="1"/>
  <c r="D18" i="1"/>
  <c r="D14" i="1"/>
  <c r="J15" i="1"/>
  <c r="J16" i="1"/>
  <c r="J17" i="1"/>
  <c r="J18" i="1"/>
  <c r="J14" i="1"/>
  <c r="K15" i="1"/>
  <c r="K16" i="1"/>
  <c r="K17" i="1"/>
  <c r="K18" i="1"/>
  <c r="K14" i="1"/>
  <c r="L14" i="1"/>
  <c r="L18" i="1"/>
  <c r="L16" i="1" l="1"/>
  <c r="L17" i="1"/>
  <c r="L15" i="1"/>
  <c r="F15" i="1"/>
  <c r="F18" i="1"/>
  <c r="F17" i="1"/>
  <c r="F16" i="1"/>
  <c r="C4" i="1"/>
  <c r="C5" i="1"/>
  <c r="C6" i="1"/>
  <c r="C7" i="1"/>
  <c r="C3" i="1"/>
  <c r="I4" i="1"/>
  <c r="I5" i="1"/>
  <c r="I6" i="1"/>
  <c r="I7" i="1"/>
  <c r="I3" i="1"/>
</calcChain>
</file>

<file path=xl/sharedStrings.xml><?xml version="1.0" encoding="utf-8"?>
<sst xmlns="http://schemas.openxmlformats.org/spreadsheetml/2006/main" count="30" uniqueCount="16">
  <si>
    <t>CaCl2 Conc (mM)</t>
  </si>
  <si>
    <t>NaCl Conc (mM)</t>
  </si>
  <si>
    <t>Conductivity (uS/cm) @ 25oC</t>
  </si>
  <si>
    <t>Conductivity (uS/cm) @ T</t>
  </si>
  <si>
    <t>Temperature (oC)</t>
  </si>
  <si>
    <t>LaCl3 Conc (mM)</t>
  </si>
  <si>
    <t>NaCl</t>
  </si>
  <si>
    <t>Concentration</t>
  </si>
  <si>
    <t>Volume Stock NaCl (mL)</t>
  </si>
  <si>
    <t>Volume H2O (mL)</t>
  </si>
  <si>
    <t>CaCl2</t>
  </si>
  <si>
    <t>Probe 1</t>
  </si>
  <si>
    <t>Volume Stock CaCl2 (mL)</t>
  </si>
  <si>
    <t>LaCl3</t>
  </si>
  <si>
    <t>Volume Stock LaCl3 (mL)</t>
  </si>
  <si>
    <t>(200 mM 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</si>
</sst>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E617-F013-457D-9052-B2C83185DA78}">
  <dimension ref="B2:L24"/>
  <sheetViews>
    <sheetView tabSelected="1" zoomScale="80" workbookViewId="0">
      <selection activeCell="J8" sqref="J8"/>
    </sheetView>
  </sheetViews>
  <sheetFormatPr defaultRowHeight="14.25" x14ac:dyDescent="0.45"/>
  <cols>
    <col min="2" max="2" width="14.1328125" bestFit="1" customWidth="1"/>
    <col min="3" max="3" width="15" bestFit="1" customWidth="1"/>
    <col min="4" max="4" width="25.53125" bestFit="1" customWidth="1"/>
    <col min="5" max="5" width="22.1328125" bestFit="1" customWidth="1"/>
    <col min="6" max="6" width="15.6640625" bestFit="1" customWidth="1"/>
    <col min="7" max="7" width="15.6640625" style="10" customWidth="1"/>
    <col min="8" max="8" width="15.33203125" bestFit="1" customWidth="1"/>
    <col min="9" max="9" width="15.46484375" bestFit="1" customWidth="1"/>
    <col min="10" max="10" width="25.53125" bestFit="1" customWidth="1"/>
    <col min="11" max="11" width="22.1328125" bestFit="1" customWidth="1"/>
    <col min="12" max="12" width="15.6640625" bestFit="1" customWidth="1"/>
  </cols>
  <sheetData>
    <row r="2" spans="2:12" x14ac:dyDescent="0.45">
      <c r="B2" s="3" t="s">
        <v>1</v>
      </c>
      <c r="C2" s="3" t="s">
        <v>0</v>
      </c>
      <c r="D2" s="3" t="s">
        <v>2</v>
      </c>
      <c r="E2" s="3" t="s">
        <v>3</v>
      </c>
      <c r="F2" s="3" t="s">
        <v>4</v>
      </c>
      <c r="G2" s="11"/>
      <c r="H2" s="2" t="s">
        <v>1</v>
      </c>
      <c r="I2" s="2" t="s">
        <v>5</v>
      </c>
      <c r="J2" s="2" t="s">
        <v>2</v>
      </c>
      <c r="K2" s="2" t="s">
        <v>3</v>
      </c>
      <c r="L2" s="2" t="s">
        <v>4</v>
      </c>
    </row>
    <row r="3" spans="2:12" x14ac:dyDescent="0.45">
      <c r="B3" s="4">
        <v>1</v>
      </c>
      <c r="C3" s="4">
        <f>B3*10</f>
        <v>10</v>
      </c>
      <c r="D3">
        <v>2261.6999999999998</v>
      </c>
      <c r="E3">
        <v>2048.1999999999998</v>
      </c>
      <c r="F3" s="9">
        <v>20.68</v>
      </c>
      <c r="H3" s="4">
        <v>1</v>
      </c>
      <c r="I3" s="4">
        <f>H3*30</f>
        <v>30</v>
      </c>
      <c r="J3" s="10">
        <v>8735.9</v>
      </c>
      <c r="K3" s="10">
        <v>7906.3</v>
      </c>
      <c r="L3">
        <v>20.65</v>
      </c>
    </row>
    <row r="4" spans="2:12" x14ac:dyDescent="0.45">
      <c r="B4" s="4">
        <v>2</v>
      </c>
      <c r="C4" s="4">
        <f t="shared" ref="C4:C7" si="0">B4*10</f>
        <v>20</v>
      </c>
      <c r="D4">
        <v>4314.5</v>
      </c>
      <c r="E4">
        <v>3917</v>
      </c>
      <c r="F4" s="9">
        <v>20.79</v>
      </c>
      <c r="H4" s="4">
        <v>2</v>
      </c>
      <c r="I4" s="4">
        <f t="shared" ref="I4:I7" si="1">H4*30</f>
        <v>60</v>
      </c>
      <c r="J4" s="10">
        <v>16261</v>
      </c>
      <c r="K4" s="10">
        <v>14806</v>
      </c>
      <c r="L4">
        <v>20.91</v>
      </c>
    </row>
    <row r="5" spans="2:12" x14ac:dyDescent="0.45">
      <c r="B5" s="4">
        <v>3</v>
      </c>
      <c r="C5" s="4">
        <f t="shared" si="0"/>
        <v>30</v>
      </c>
      <c r="D5">
        <v>6342.3</v>
      </c>
      <c r="E5">
        <v>5776.7</v>
      </c>
      <c r="F5" s="9">
        <v>20.92</v>
      </c>
      <c r="H5" s="4">
        <v>3</v>
      </c>
      <c r="I5" s="4">
        <f t="shared" si="1"/>
        <v>90</v>
      </c>
      <c r="J5" s="10">
        <v>23478</v>
      </c>
      <c r="K5" s="10">
        <v>21535</v>
      </c>
      <c r="L5">
        <v>21.22</v>
      </c>
    </row>
    <row r="6" spans="2:12" x14ac:dyDescent="0.45">
      <c r="B6" s="4">
        <v>4</v>
      </c>
      <c r="C6" s="4">
        <f t="shared" si="0"/>
        <v>40</v>
      </c>
      <c r="D6">
        <v>8225.9</v>
      </c>
      <c r="E6">
        <v>7518.5</v>
      </c>
      <c r="F6" s="10">
        <v>21.03</v>
      </c>
      <c r="H6" s="4">
        <v>4</v>
      </c>
      <c r="I6" s="4">
        <f t="shared" si="1"/>
        <v>120</v>
      </c>
      <c r="J6" s="10">
        <v>30232</v>
      </c>
      <c r="K6" s="10">
        <v>27926</v>
      </c>
      <c r="L6">
        <v>21.51</v>
      </c>
    </row>
    <row r="7" spans="2:12" x14ac:dyDescent="0.45">
      <c r="B7" s="5">
        <v>5</v>
      </c>
      <c r="C7" s="5">
        <f t="shared" si="0"/>
        <v>50</v>
      </c>
      <c r="D7" s="1">
        <v>10139</v>
      </c>
      <c r="E7" s="1">
        <v>9286.2999999999993</v>
      </c>
      <c r="F7" s="1">
        <v>21.13</v>
      </c>
      <c r="H7" s="5">
        <v>5</v>
      </c>
      <c r="I7" s="5">
        <f t="shared" si="1"/>
        <v>150</v>
      </c>
      <c r="J7" s="1">
        <v>36736</v>
      </c>
      <c r="K7" s="1">
        <v>34202</v>
      </c>
      <c r="L7" s="1">
        <v>21.85</v>
      </c>
    </row>
    <row r="10" spans="2:12" x14ac:dyDescent="0.45">
      <c r="B10" s="8" t="s">
        <v>11</v>
      </c>
      <c r="C10" s="8"/>
      <c r="D10" s="8"/>
      <c r="E10" s="8"/>
      <c r="F10" s="8"/>
      <c r="G10" s="11"/>
      <c r="H10" s="8" t="s">
        <v>11</v>
      </c>
      <c r="I10" s="8"/>
      <c r="J10" s="8"/>
      <c r="K10" s="8"/>
      <c r="L10" s="8"/>
    </row>
    <row r="12" spans="2:12" x14ac:dyDescent="0.45">
      <c r="B12" s="6" t="s">
        <v>6</v>
      </c>
      <c r="C12" s="6" t="s">
        <v>10</v>
      </c>
      <c r="D12" s="6" t="s">
        <v>15</v>
      </c>
      <c r="E12" s="6" t="s">
        <v>15</v>
      </c>
      <c r="F12" s="6"/>
      <c r="G12" s="12"/>
      <c r="H12" s="6" t="s">
        <v>6</v>
      </c>
      <c r="I12" s="6" t="s">
        <v>13</v>
      </c>
      <c r="J12" s="6" t="s">
        <v>15</v>
      </c>
      <c r="K12" s="6" t="s">
        <v>15</v>
      </c>
      <c r="L12" s="6"/>
    </row>
    <row r="13" spans="2:12" x14ac:dyDescent="0.45">
      <c r="B13" s="7" t="s">
        <v>7</v>
      </c>
      <c r="C13" s="7" t="s">
        <v>7</v>
      </c>
      <c r="D13" s="7" t="s">
        <v>8</v>
      </c>
      <c r="E13" s="7" t="s">
        <v>12</v>
      </c>
      <c r="F13" s="7" t="s">
        <v>9</v>
      </c>
      <c r="G13" s="13"/>
      <c r="H13" s="7" t="s">
        <v>7</v>
      </c>
      <c r="I13" s="7" t="s">
        <v>7</v>
      </c>
      <c r="J13" s="7" t="s">
        <v>8</v>
      </c>
      <c r="K13" s="7" t="s">
        <v>14</v>
      </c>
      <c r="L13" s="7" t="s">
        <v>9</v>
      </c>
    </row>
    <row r="14" spans="2:12" x14ac:dyDescent="0.45">
      <c r="B14" s="7">
        <v>1</v>
      </c>
      <c r="C14" s="7">
        <v>10</v>
      </c>
      <c r="D14" s="6">
        <f>B14*10/200</f>
        <v>0.05</v>
      </c>
      <c r="E14" s="6">
        <f>C14*10/200</f>
        <v>0.5</v>
      </c>
      <c r="F14" s="7">
        <f>10-E14-D14</f>
        <v>9.4499999999999993</v>
      </c>
      <c r="G14" s="13"/>
      <c r="H14" s="7">
        <v>1</v>
      </c>
      <c r="I14" s="7">
        <v>30</v>
      </c>
      <c r="J14" s="6">
        <f>H14*10/200</f>
        <v>0.05</v>
      </c>
      <c r="K14" s="6">
        <f>I14*10/200</f>
        <v>1.5</v>
      </c>
      <c r="L14" s="7">
        <f>10-K14-J14</f>
        <v>8.4499999999999993</v>
      </c>
    </row>
    <row r="15" spans="2:12" x14ac:dyDescent="0.45">
      <c r="B15" s="4">
        <v>2</v>
      </c>
      <c r="C15" s="4">
        <v>20</v>
      </c>
      <c r="D15" s="6">
        <f t="shared" ref="D15:D18" si="2">B15*10/200</f>
        <v>0.1</v>
      </c>
      <c r="E15" s="6">
        <f t="shared" ref="E15:E18" si="3">C15*10/200</f>
        <v>1</v>
      </c>
      <c r="F15" s="7">
        <f>10-E15-D15</f>
        <v>8.9</v>
      </c>
      <c r="G15" s="13"/>
      <c r="H15" s="4">
        <v>2</v>
      </c>
      <c r="I15" s="4">
        <v>60</v>
      </c>
      <c r="J15" s="6">
        <f t="shared" ref="J15:J18" si="4">H15*10/200</f>
        <v>0.1</v>
      </c>
      <c r="K15" s="6">
        <f t="shared" ref="K15:K18" si="5">I15*10/200</f>
        <v>3</v>
      </c>
      <c r="L15" s="7">
        <f>10-K15-J15</f>
        <v>6.9</v>
      </c>
    </row>
    <row r="16" spans="2:12" x14ac:dyDescent="0.45">
      <c r="B16" s="4">
        <v>3</v>
      </c>
      <c r="C16" s="4">
        <v>30</v>
      </c>
      <c r="D16" s="6">
        <f t="shared" si="2"/>
        <v>0.15</v>
      </c>
      <c r="E16" s="6">
        <f t="shared" si="3"/>
        <v>1.5</v>
      </c>
      <c r="F16" s="7">
        <f>10-E16-D16</f>
        <v>8.35</v>
      </c>
      <c r="G16" s="13"/>
      <c r="H16" s="4">
        <v>3</v>
      </c>
      <c r="I16" s="4">
        <v>90</v>
      </c>
      <c r="J16" s="6">
        <f t="shared" si="4"/>
        <v>0.15</v>
      </c>
      <c r="K16" s="6">
        <f t="shared" si="5"/>
        <v>4.5</v>
      </c>
      <c r="L16" s="7">
        <f>10-K16-J16</f>
        <v>5.35</v>
      </c>
    </row>
    <row r="17" spans="2:12" x14ac:dyDescent="0.45">
      <c r="B17" s="4">
        <v>4</v>
      </c>
      <c r="C17" s="4">
        <v>40</v>
      </c>
      <c r="D17" s="6">
        <f t="shared" si="2"/>
        <v>0.2</v>
      </c>
      <c r="E17" s="6">
        <f t="shared" si="3"/>
        <v>2</v>
      </c>
      <c r="F17" s="7">
        <f>10-E17-D17</f>
        <v>7.8</v>
      </c>
      <c r="G17" s="13"/>
      <c r="H17" s="4">
        <v>4</v>
      </c>
      <c r="I17" s="4">
        <v>120</v>
      </c>
      <c r="J17" s="6">
        <f t="shared" si="4"/>
        <v>0.2</v>
      </c>
      <c r="K17" s="6">
        <f t="shared" si="5"/>
        <v>6</v>
      </c>
      <c r="L17" s="7">
        <f>10-K17-J17</f>
        <v>3.8</v>
      </c>
    </row>
    <row r="18" spans="2:12" x14ac:dyDescent="0.45">
      <c r="B18" s="4">
        <v>5</v>
      </c>
      <c r="C18" s="4">
        <v>50</v>
      </c>
      <c r="D18" s="6">
        <f t="shared" si="2"/>
        <v>0.25</v>
      </c>
      <c r="E18" s="6">
        <f t="shared" si="3"/>
        <v>2.5</v>
      </c>
      <c r="F18" s="7">
        <f>10-E18-D18</f>
        <v>7.25</v>
      </c>
      <c r="G18" s="13"/>
      <c r="H18" s="4">
        <v>5</v>
      </c>
      <c r="I18" s="4">
        <v>150</v>
      </c>
      <c r="J18" s="6">
        <f t="shared" si="4"/>
        <v>0.25</v>
      </c>
      <c r="K18" s="6">
        <f t="shared" si="5"/>
        <v>7.5</v>
      </c>
      <c r="L18" s="7">
        <f>10-K18-J18</f>
        <v>2.25</v>
      </c>
    </row>
    <row r="19" spans="2:12" x14ac:dyDescent="0.45">
      <c r="B19" s="4"/>
      <c r="C19" s="4"/>
      <c r="D19" s="6"/>
      <c r="E19" s="6"/>
      <c r="F19" s="7"/>
      <c r="G19" s="13"/>
      <c r="H19" s="4"/>
      <c r="K19" s="6"/>
    </row>
    <row r="20" spans="2:12" x14ac:dyDescent="0.45">
      <c r="B20" s="4"/>
      <c r="C20" s="4"/>
      <c r="D20" s="6"/>
      <c r="E20" s="6"/>
      <c r="F20" s="7"/>
      <c r="G20" s="13"/>
      <c r="H20" s="4"/>
    </row>
    <row r="21" spans="2:12" x14ac:dyDescent="0.45">
      <c r="B21" s="4"/>
      <c r="C21" s="4"/>
      <c r="D21" s="6"/>
      <c r="E21" s="6"/>
      <c r="F21" s="7"/>
      <c r="G21" s="13"/>
      <c r="H21" s="4"/>
    </row>
    <row r="22" spans="2:12" x14ac:dyDescent="0.45">
      <c r="B22" s="4"/>
      <c r="C22" s="4"/>
      <c r="D22" s="6"/>
      <c r="E22" s="6"/>
      <c r="F22" s="7"/>
      <c r="G22" s="13"/>
      <c r="H22" s="4"/>
    </row>
    <row r="23" spans="2:12" x14ac:dyDescent="0.45">
      <c r="B23" s="4"/>
      <c r="C23" s="4"/>
      <c r="D23" s="6"/>
      <c r="E23" s="6"/>
      <c r="F23" s="7"/>
      <c r="G23" s="13"/>
      <c r="H23" s="4"/>
    </row>
    <row r="24" spans="2:12" x14ac:dyDescent="0.45">
      <c r="B24" s="4"/>
      <c r="C24" s="4"/>
      <c r="D24" s="6"/>
      <c r="E24" s="6"/>
      <c r="F24" s="7"/>
      <c r="G24" s="13"/>
      <c r="H24" s="4"/>
    </row>
  </sheetData>
  <mergeCells count="2">
    <mergeCell ref="B10:F10"/>
    <mergeCell ref="H10:L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Shammah Lilonfe</dc:creator>
  <cp:lastModifiedBy>Laurianne Estrada</cp:lastModifiedBy>
  <dcterms:created xsi:type="dcterms:W3CDTF">2026-07-30T14:15:09Z</dcterms:created>
  <dcterms:modified xsi:type="dcterms:W3CDTF">2026-08-06T21:34:22Z</dcterms:modified>
</cp:coreProperties>
</file>